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5th sem\geotechnics II\second project\"/>
    </mc:Choice>
  </mc:AlternateContent>
  <xr:revisionPtr revIDLastSave="0" documentId="13_ncr:1_{A4D8B0EF-87FE-4595-A292-121C71D75C27}" xr6:coauthVersionLast="47" xr6:coauthVersionMax="47" xr10:uidLastSave="{00000000-0000-0000-0000-000000000000}"/>
  <bookViews>
    <workbookView xWindow="-108" yWindow="-108" windowWidth="23256" windowHeight="13176" xr2:uid="{58A1FCCF-F761-4790-AC83-2E2DE6C2C49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L14" i="2"/>
  <c r="L15" i="2"/>
  <c r="L16" i="2"/>
  <c r="L17" i="2"/>
  <c r="L18" i="2"/>
  <c r="L19" i="2"/>
  <c r="L20" i="2"/>
  <c r="L21" i="2"/>
  <c r="L12" i="2"/>
  <c r="J13" i="2"/>
  <c r="M13" i="2" s="1"/>
  <c r="J14" i="2"/>
  <c r="M14" i="2" s="1"/>
  <c r="J19" i="2"/>
  <c r="M19" i="2" s="1"/>
  <c r="J20" i="2"/>
  <c r="M20" i="2" s="1"/>
  <c r="G13" i="2"/>
  <c r="I13" i="2" s="1"/>
  <c r="G14" i="2"/>
  <c r="I14" i="2" s="1"/>
  <c r="G15" i="2"/>
  <c r="I15" i="2" s="1"/>
  <c r="G16" i="2"/>
  <c r="I16" i="2" s="1"/>
  <c r="G17" i="2"/>
  <c r="J17" i="2" s="1"/>
  <c r="M17" i="2" s="1"/>
  <c r="G18" i="2"/>
  <c r="J18" i="2" s="1"/>
  <c r="M18" i="2" s="1"/>
  <c r="G19" i="2"/>
  <c r="I19" i="2" s="1"/>
  <c r="G20" i="2"/>
  <c r="G21" i="2"/>
  <c r="J21" i="2" s="1"/>
  <c r="M21" i="2" s="1"/>
  <c r="G12" i="2"/>
  <c r="J12" i="2" s="1"/>
  <c r="I17" i="2"/>
  <c r="I20" i="2"/>
  <c r="I21" i="2"/>
  <c r="I12" i="2"/>
  <c r="L20" i="3"/>
  <c r="K20" i="3"/>
  <c r="J20" i="3"/>
  <c r="I20" i="3"/>
  <c r="H20" i="3"/>
  <c r="F20" i="3"/>
  <c r="E20" i="3"/>
  <c r="F18" i="1"/>
  <c r="G18" i="1"/>
  <c r="I18" i="1"/>
  <c r="J18" i="1"/>
  <c r="K18" i="1"/>
  <c r="L18" i="1"/>
  <c r="M18" i="1"/>
  <c r="K23" i="2"/>
  <c r="F23" i="2"/>
  <c r="J23" i="2" l="1"/>
  <c r="M12" i="2"/>
  <c r="J16" i="2"/>
  <c r="M16" i="2" s="1"/>
  <c r="J15" i="2"/>
  <c r="M15" i="2" s="1"/>
  <c r="I18" i="2"/>
  <c r="L23" i="2"/>
  <c r="M23" i="2"/>
  <c r="I23" i="2"/>
  <c r="G23" i="2"/>
</calcChain>
</file>

<file path=xl/sharedStrings.xml><?xml version="1.0" encoding="utf-8"?>
<sst xmlns="http://schemas.openxmlformats.org/spreadsheetml/2006/main" count="61" uniqueCount="26">
  <si>
    <t>Area (m2)</t>
  </si>
  <si>
    <t>Slice</t>
  </si>
  <si>
    <t>Self weight of the slice (kN/m3)</t>
  </si>
  <si>
    <t>Force parallel to the sliding surface ( Tn)</t>
  </si>
  <si>
    <t>Length (L)</t>
  </si>
  <si>
    <t>Cohesion along the sliding surface</t>
  </si>
  <si>
    <t>Friction from the self weight and friction angle</t>
  </si>
  <si>
    <t>Sum</t>
  </si>
  <si>
    <t>Fi[kN/m</t>
  </si>
  <si>
    <t>[o]</t>
  </si>
  <si>
    <t>Wi[kN/m]</t>
  </si>
  <si>
    <t>``</t>
  </si>
  <si>
    <t>Apha angle (̊_)</t>
  </si>
  <si>
    <t xml:space="preserve">Forces normal to the sliding surface </t>
  </si>
  <si>
    <r>
      <t>[m</t>
    </r>
    <r>
      <rPr>
        <b/>
        <i/>
        <vertAlign val="superscript"/>
        <sz val="9"/>
        <color rgb="FF000000"/>
        <rFont val="Cambria"/>
        <family val="1"/>
      </rPr>
      <t>2</t>
    </r>
    <r>
      <rPr>
        <b/>
        <i/>
        <sz val="12"/>
        <color rgb="FF000000"/>
        <rFont val="Cambria"/>
        <family val="1"/>
      </rPr>
      <t>]</t>
    </r>
  </si>
  <si>
    <r>
      <t>T</t>
    </r>
    <r>
      <rPr>
        <b/>
        <i/>
        <vertAlign val="subscript"/>
        <sz val="9"/>
        <color rgb="FF000000"/>
        <rFont val="Cambria"/>
        <family val="1"/>
      </rPr>
      <t>i</t>
    </r>
    <r>
      <rPr>
        <b/>
        <i/>
        <sz val="12"/>
        <color rgb="FF000000"/>
        <rFont val="Cambria"/>
        <family val="1"/>
      </rPr>
      <t>[kN/m]</t>
    </r>
  </si>
  <si>
    <r>
      <t>N</t>
    </r>
    <r>
      <rPr>
        <b/>
        <i/>
        <vertAlign val="subscript"/>
        <sz val="9"/>
        <color rgb="FF000000"/>
        <rFont val="Cambria"/>
        <family val="1"/>
      </rPr>
      <t>i</t>
    </r>
    <r>
      <rPr>
        <b/>
        <i/>
        <sz val="12"/>
        <color rgb="FF000000"/>
        <rFont val="Cambria"/>
        <family val="1"/>
      </rPr>
      <t>[kN/m]</t>
    </r>
  </si>
  <si>
    <r>
      <t>L</t>
    </r>
    <r>
      <rPr>
        <b/>
        <i/>
        <vertAlign val="subscript"/>
        <sz val="9"/>
        <color rgb="FF000000"/>
        <rFont val="Cambria"/>
        <family val="1"/>
      </rPr>
      <t>i</t>
    </r>
    <r>
      <rPr>
        <b/>
        <i/>
        <sz val="12"/>
        <color rgb="FF000000"/>
        <rFont val="Cambria"/>
        <family val="1"/>
      </rPr>
      <t>[m)</t>
    </r>
  </si>
  <si>
    <r>
      <t>C</t>
    </r>
    <r>
      <rPr>
        <b/>
        <i/>
        <vertAlign val="subscript"/>
        <sz val="9"/>
        <color rgb="FF000000"/>
        <rFont val="Cambria"/>
        <family val="1"/>
      </rPr>
      <t>i</t>
    </r>
    <r>
      <rPr>
        <b/>
        <i/>
        <sz val="12"/>
        <color rgb="FF000000"/>
        <rFont val="Cambria"/>
        <family val="1"/>
      </rPr>
      <t>[kN/m]</t>
    </r>
  </si>
  <si>
    <t>A</t>
  </si>
  <si>
    <t>B</t>
  </si>
  <si>
    <t>C</t>
  </si>
  <si>
    <r>
      <t>ΔL</t>
    </r>
    <r>
      <rPr>
        <b/>
        <i/>
        <vertAlign val="subscript"/>
        <sz val="9"/>
        <color rgb="FF000000"/>
        <rFont val="Cambria"/>
        <family val="1"/>
      </rPr>
      <t>i</t>
    </r>
    <r>
      <rPr>
        <b/>
        <i/>
        <sz val="12"/>
        <color rgb="FF000000"/>
        <rFont val="Cambria"/>
        <family val="1"/>
      </rPr>
      <t>[m)</t>
    </r>
  </si>
  <si>
    <t>Fs=1.144</t>
  </si>
  <si>
    <t>Fs=1.069</t>
  </si>
  <si>
    <t>Fs=1.1143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</si>
</sst>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2"/>
      <color rgb="FF000000"/>
      <name val="Cambria"/>
      <family val="1"/>
    </font>
    <font>
      <sz val="12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rgb="FF000000"/>
      <name val="Cambria"/>
      <family val="1"/>
    </font>
    <font>
      <b/>
      <i/>
      <vertAlign val="superscript"/>
      <sz val="9"/>
      <color rgb="FF000000"/>
      <name val="Cambria"/>
      <family val="1"/>
    </font>
    <font>
      <b/>
      <i/>
      <vertAlign val="subscript"/>
      <sz val="9"/>
      <color rgb="FF000000"/>
      <name val="Cambria"/>
      <family val="1"/>
    </font>
    <font>
      <b/>
      <sz val="11"/>
      <color rgb="FFFF000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top"/>
    </xf>
    <xf numFmtId="0" fontId="8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0" xfId="0" applyFont="1"/>
    <xf numFmtId="0" fontId="11" fillId="0" borderId="0" xfId="0" applyFont="1"/>
    <xf numFmtId="0" fontId="5" fillId="0" borderId="1" xfId="0" applyFont="1" applyBorder="1" applyAlignment="1">
      <alignment horizontal="right" vertical="center" wrapText="1"/>
    </xf>
    <xf numFmtId="0" fontId="11" fillId="0" borderId="1" xfId="0" applyFont="1" applyBorder="1"/>
    <xf numFmtId="0" fontId="12" fillId="2" borderId="0" xfId="0" applyFont="1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justify" vertical="center"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0" fillId="0" borderId="0" xfId="0" applyAlignment="1">
      <alignment wrapText="1"/>
    </xf>
    <xf numFmtId="0" fontId="7" fillId="0" borderId="0" xfId="0" applyFont="1"/>
    <xf numFmtId="0" fontId="0" fillId="0" borderId="0" xfId="0" applyAlignment="1">
      <alignment vertical="top"/>
    </xf>
    <xf numFmtId="0" fontId="4" fillId="0" borderId="0" xfId="0" applyFont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403225</xdr:colOff>
      <xdr:row>9</xdr:row>
      <xdr:rowOff>31750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2B0388-8077-09D7-4867-BAF5F3552CDC}"/>
            </a:ext>
          </a:extLst>
        </xdr:cNvPr>
        <xdr:cNvSpPr txBox="1"/>
      </xdr:nvSpPr>
      <xdr:spPr>
        <a:xfrm>
          <a:off x="5413375" y="247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8F2F-8CBB-42ED-9349-60BF4EB5EB4D}">
  <dimension ref="A3:N21"/>
  <sheetViews>
    <sheetView tabSelected="1" workbookViewId="0">
      <selection activeCell="I38" sqref="I38"/>
    </sheetView>
  </sheetViews>
  <sheetFormatPr defaultRowHeight="14.4" x14ac:dyDescent="0.3"/>
  <cols>
    <col min="1" max="1" width="5.88671875" customWidth="1"/>
    <col min="3" max="3" width="12" customWidth="1"/>
    <col min="4" max="4" width="8.33203125" customWidth="1"/>
    <col min="5" max="5" width="10.88671875" customWidth="1"/>
    <col min="6" max="6" width="11.44140625" customWidth="1"/>
    <col min="7" max="7" width="9" customWidth="1"/>
    <col min="8" max="8" width="11.5546875" customWidth="1"/>
    <col min="9" max="9" width="11.33203125" customWidth="1"/>
  </cols>
  <sheetData>
    <row r="3" spans="1:14" x14ac:dyDescent="0.3">
      <c r="A3" s="1"/>
      <c r="E3" s="14" t="s">
        <v>19</v>
      </c>
    </row>
    <row r="4" spans="1:14" x14ac:dyDescent="0.3">
      <c r="A4" s="1"/>
    </row>
    <row r="5" spans="1:14" ht="100.8" x14ac:dyDescent="0.3">
      <c r="E5" s="4" t="s">
        <v>1</v>
      </c>
      <c r="F5" s="4" t="s">
        <v>0</v>
      </c>
      <c r="G5" s="5" t="s">
        <v>2</v>
      </c>
      <c r="H5" s="6" t="s">
        <v>12</v>
      </c>
      <c r="I5" s="5" t="s">
        <v>3</v>
      </c>
      <c r="J5" s="5" t="s">
        <v>13</v>
      </c>
      <c r="K5" s="4" t="s">
        <v>4</v>
      </c>
      <c r="L5" s="5" t="s">
        <v>5</v>
      </c>
      <c r="M5" s="5" t="s">
        <v>6</v>
      </c>
      <c r="N5" s="7"/>
    </row>
    <row r="6" spans="1:14" ht="30.6" x14ac:dyDescent="0.3">
      <c r="E6" s="4"/>
      <c r="F6" s="9" t="s">
        <v>14</v>
      </c>
      <c r="G6" s="9" t="s">
        <v>10</v>
      </c>
      <c r="H6" s="8" t="s">
        <v>9</v>
      </c>
      <c r="I6" s="8" t="s">
        <v>15</v>
      </c>
      <c r="J6" s="8" t="s">
        <v>16</v>
      </c>
      <c r="K6" s="9" t="s">
        <v>17</v>
      </c>
      <c r="L6" s="8" t="s">
        <v>18</v>
      </c>
      <c r="M6" s="9" t="s">
        <v>8</v>
      </c>
      <c r="N6" s="7"/>
    </row>
    <row r="7" spans="1:14" s="10" customFormat="1" ht="15.6" x14ac:dyDescent="0.3">
      <c r="A7" s="15"/>
      <c r="B7" s="15"/>
      <c r="C7" s="16"/>
      <c r="D7" s="16"/>
      <c r="E7" s="3">
        <v>1</v>
      </c>
      <c r="F7" s="3">
        <v>0.317</v>
      </c>
      <c r="G7" s="3">
        <v>5.71</v>
      </c>
      <c r="H7" s="3">
        <v>-18</v>
      </c>
      <c r="I7" s="12">
        <v>-1.76</v>
      </c>
      <c r="J7" s="12">
        <v>5.43</v>
      </c>
      <c r="K7" s="12">
        <v>1.43</v>
      </c>
      <c r="L7" s="12">
        <v>15.89</v>
      </c>
      <c r="M7" s="12">
        <v>2.14</v>
      </c>
      <c r="N7"/>
    </row>
    <row r="8" spans="1:14" s="10" customFormat="1" ht="15" x14ac:dyDescent="0.3">
      <c r="A8" s="15"/>
      <c r="B8" s="18"/>
      <c r="C8" s="18"/>
      <c r="D8" s="19"/>
      <c r="E8" s="3">
        <v>2</v>
      </c>
      <c r="F8" s="3">
        <v>0.80600000000000005</v>
      </c>
      <c r="G8" s="3">
        <v>14.51</v>
      </c>
      <c r="H8" s="3">
        <v>-9</v>
      </c>
      <c r="I8" s="3">
        <v>-2.27</v>
      </c>
      <c r="J8" s="3">
        <v>14.33</v>
      </c>
      <c r="K8" s="3">
        <v>1.38</v>
      </c>
      <c r="L8" s="3">
        <v>15.33</v>
      </c>
      <c r="M8" s="3">
        <v>5.64</v>
      </c>
      <c r="N8"/>
    </row>
    <row r="9" spans="1:14" x14ac:dyDescent="0.3">
      <c r="A9" s="2"/>
      <c r="D9" s="20"/>
      <c r="E9" s="3">
        <v>3</v>
      </c>
      <c r="F9" s="3">
        <v>2.5510000000000002</v>
      </c>
      <c r="G9" s="3">
        <v>45.92</v>
      </c>
      <c r="H9" s="3">
        <v>-2</v>
      </c>
      <c r="I9" s="3">
        <v>-1.6</v>
      </c>
      <c r="J9" s="3">
        <v>45.89</v>
      </c>
      <c r="K9" s="3">
        <v>1.36</v>
      </c>
      <c r="L9" s="3">
        <v>15.11</v>
      </c>
      <c r="M9" s="3">
        <v>18.07</v>
      </c>
    </row>
    <row r="10" spans="1:14" x14ac:dyDescent="0.3">
      <c r="A10" s="2"/>
      <c r="D10" s="21"/>
      <c r="E10" s="3">
        <v>4</v>
      </c>
      <c r="F10" s="3">
        <v>4.7809999999999997</v>
      </c>
      <c r="G10" s="3">
        <v>86.06</v>
      </c>
      <c r="H10" s="3">
        <v>6</v>
      </c>
      <c r="I10" s="3">
        <v>9</v>
      </c>
      <c r="J10" s="3">
        <v>85.59</v>
      </c>
      <c r="K10" s="3">
        <v>1.37</v>
      </c>
      <c r="L10" s="3">
        <v>15.22</v>
      </c>
      <c r="M10" s="3">
        <v>33.71</v>
      </c>
    </row>
    <row r="11" spans="1:14" x14ac:dyDescent="0.3">
      <c r="A11" s="2"/>
      <c r="D11" s="21"/>
      <c r="E11" s="3">
        <v>5</v>
      </c>
      <c r="F11" s="3">
        <v>6.7569999999999997</v>
      </c>
      <c r="G11" s="3">
        <v>121.63</v>
      </c>
      <c r="H11" s="3">
        <v>14</v>
      </c>
      <c r="I11" s="3">
        <v>29.42</v>
      </c>
      <c r="J11" s="3">
        <v>118.01</v>
      </c>
      <c r="K11" s="3">
        <v>1.4</v>
      </c>
      <c r="L11" s="3">
        <v>15.56</v>
      </c>
      <c r="M11" s="3">
        <v>46.48</v>
      </c>
    </row>
    <row r="12" spans="1:14" x14ac:dyDescent="0.3">
      <c r="A12" s="2"/>
      <c r="D12" s="21"/>
      <c r="E12" s="3">
        <v>6</v>
      </c>
      <c r="F12" s="3">
        <v>8.4499999999999993</v>
      </c>
      <c r="G12" s="3">
        <v>152.1</v>
      </c>
      <c r="H12" s="3">
        <v>23</v>
      </c>
      <c r="I12" s="3">
        <v>59.43</v>
      </c>
      <c r="J12" s="3">
        <v>140.01</v>
      </c>
      <c r="K12" s="3">
        <v>1.47</v>
      </c>
      <c r="L12" s="3">
        <v>16.329999999999998</v>
      </c>
      <c r="M12" s="3">
        <v>55.14</v>
      </c>
    </row>
    <row r="13" spans="1:14" x14ac:dyDescent="0.3">
      <c r="A13" s="2"/>
      <c r="D13" s="21"/>
      <c r="E13" s="3">
        <v>7</v>
      </c>
      <c r="F13" s="3">
        <v>9.8160000000000007</v>
      </c>
      <c r="G13" s="3">
        <v>176.69</v>
      </c>
      <c r="H13" s="3">
        <v>31</v>
      </c>
      <c r="I13" s="3">
        <v>91</v>
      </c>
      <c r="J13" s="3">
        <v>151.44999999999999</v>
      </c>
      <c r="K13" s="3">
        <v>1.59</v>
      </c>
      <c r="L13" s="3">
        <v>17.670000000000002</v>
      </c>
      <c r="M13" s="3">
        <v>59.65</v>
      </c>
    </row>
    <row r="14" spans="1:14" x14ac:dyDescent="0.3">
      <c r="A14" s="2"/>
      <c r="C14" s="22"/>
      <c r="D14" s="21"/>
      <c r="E14" s="3">
        <v>8</v>
      </c>
      <c r="F14" s="3">
        <v>9.85</v>
      </c>
      <c r="G14" s="3">
        <v>177.3</v>
      </c>
      <c r="H14" s="3">
        <v>41</v>
      </c>
      <c r="I14" s="3">
        <v>116.32</v>
      </c>
      <c r="J14" s="3">
        <v>133.81</v>
      </c>
      <c r="K14" s="3">
        <v>1.81</v>
      </c>
      <c r="L14" s="3">
        <v>20.11</v>
      </c>
      <c r="M14" s="3">
        <v>52.7</v>
      </c>
    </row>
    <row r="15" spans="1:14" x14ac:dyDescent="0.3">
      <c r="A15" s="2"/>
      <c r="D15" s="21"/>
      <c r="E15" s="3">
        <v>9</v>
      </c>
      <c r="F15" s="3">
        <v>7.87</v>
      </c>
      <c r="G15" s="3">
        <v>141.66</v>
      </c>
      <c r="H15" s="3">
        <v>53</v>
      </c>
      <c r="I15" s="3">
        <v>113.13</v>
      </c>
      <c r="J15" s="3">
        <v>85.25</v>
      </c>
      <c r="K15" s="3">
        <v>2.2599999999999998</v>
      </c>
      <c r="L15" s="3">
        <v>25.11</v>
      </c>
      <c r="M15" s="3">
        <v>33.58</v>
      </c>
    </row>
    <row r="16" spans="1:14" x14ac:dyDescent="0.3">
      <c r="A16" s="2"/>
      <c r="D16" s="21"/>
      <c r="E16" s="3">
        <v>10</v>
      </c>
      <c r="F16" s="3">
        <v>4.3419999999999996</v>
      </c>
      <c r="G16" s="3">
        <v>78.16</v>
      </c>
      <c r="H16" s="3">
        <v>74</v>
      </c>
      <c r="I16" s="3">
        <v>75.13</v>
      </c>
      <c r="J16" s="3">
        <v>21.54</v>
      </c>
      <c r="K16" s="3">
        <v>5</v>
      </c>
      <c r="L16" s="3">
        <v>55.56</v>
      </c>
      <c r="M16" s="3">
        <v>8.48</v>
      </c>
      <c r="N16" s="2"/>
    </row>
    <row r="17" spans="1:14" x14ac:dyDescent="0.3">
      <c r="A17" s="2"/>
      <c r="D17" s="21"/>
      <c r="E17" s="3"/>
      <c r="F17" s="3"/>
      <c r="G17" s="3"/>
      <c r="H17" s="3"/>
      <c r="I17" s="3"/>
      <c r="J17" s="3"/>
      <c r="K17" s="3"/>
      <c r="L17" s="3"/>
      <c r="M17" s="3"/>
    </row>
    <row r="18" spans="1:14" x14ac:dyDescent="0.3">
      <c r="A18" s="2"/>
      <c r="D18" s="21"/>
      <c r="E18" s="13" t="s">
        <v>7</v>
      </c>
      <c r="F18" s="13">
        <f>SUM(F7:F16)</f>
        <v>55.54</v>
      </c>
      <c r="G18" s="13">
        <f>SUM(G7:G16)</f>
        <v>999.73999999999978</v>
      </c>
      <c r="H18" s="13"/>
      <c r="I18" s="13">
        <f>SUM(I7:I16)</f>
        <v>487.79999999999995</v>
      </c>
      <c r="J18" s="13">
        <f>SUM(J7:J16)</f>
        <v>801.31</v>
      </c>
      <c r="K18" s="13">
        <f>SUM(K7:K16)</f>
        <v>19.07</v>
      </c>
      <c r="L18" s="13">
        <f>SUM(L7:L16)</f>
        <v>211.89</v>
      </c>
      <c r="M18" s="13">
        <f>SUM(M7:M16)</f>
        <v>315.59000000000003</v>
      </c>
      <c r="N18" s="11"/>
    </row>
    <row r="20" spans="1:14" s="2" customFormat="1" x14ac:dyDescent="0.3">
      <c r="E20"/>
      <c r="F20"/>
      <c r="G20"/>
      <c r="H20"/>
      <c r="I20"/>
      <c r="J20"/>
      <c r="K20"/>
      <c r="L20"/>
      <c r="M20"/>
      <c r="N20"/>
    </row>
    <row r="21" spans="1:14" x14ac:dyDescent="0.3">
      <c r="H21" t="s">
        <v>24</v>
      </c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3E6D-0ED6-4961-9152-2E21B05C4602}">
  <dimension ref="E3:M59"/>
  <sheetViews>
    <sheetView topLeftCell="A6" workbookViewId="0">
      <selection activeCell="D14" sqref="D14"/>
    </sheetView>
  </sheetViews>
  <sheetFormatPr defaultRowHeight="14.4" x14ac:dyDescent="0.3"/>
  <cols>
    <col min="1" max="1" width="6.44140625" customWidth="1"/>
    <col min="2" max="2" width="7.88671875" customWidth="1"/>
    <col min="3" max="3" width="11.21875" customWidth="1"/>
    <col min="4" max="4" width="7.33203125" customWidth="1"/>
    <col min="5" max="5" width="13.21875" customWidth="1"/>
    <col min="6" max="6" width="10.88671875" customWidth="1"/>
    <col min="7" max="7" width="10.109375" customWidth="1"/>
    <col min="8" max="8" width="11.21875" customWidth="1"/>
    <col min="9" max="9" width="11.88671875" customWidth="1"/>
  </cols>
  <sheetData>
    <row r="3" spans="5:13" s="7" customFormat="1" ht="61.95" customHeight="1" x14ac:dyDescent="0.3"/>
    <row r="4" spans="5:13" s="7" customFormat="1" x14ac:dyDescent="0.3"/>
    <row r="5" spans="5:13" x14ac:dyDescent="0.3">
      <c r="K5" t="s">
        <v>11</v>
      </c>
    </row>
    <row r="8" spans="5:13" x14ac:dyDescent="0.3">
      <c r="E8" s="14" t="s">
        <v>20</v>
      </c>
    </row>
    <row r="10" spans="5:13" ht="100.8" x14ac:dyDescent="0.3">
      <c r="E10" s="4" t="s">
        <v>1</v>
      </c>
      <c r="F10" s="4" t="s">
        <v>0</v>
      </c>
      <c r="G10" s="5" t="s">
        <v>2</v>
      </c>
      <c r="H10" s="6" t="s">
        <v>12</v>
      </c>
      <c r="I10" s="5" t="s">
        <v>3</v>
      </c>
      <c r="J10" s="5" t="s">
        <v>13</v>
      </c>
      <c r="K10" s="4" t="s">
        <v>4</v>
      </c>
      <c r="L10" s="5" t="s">
        <v>5</v>
      </c>
      <c r="M10" s="5" t="s">
        <v>6</v>
      </c>
    </row>
    <row r="11" spans="5:13" ht="30.6" x14ac:dyDescent="0.3">
      <c r="E11" s="4"/>
      <c r="F11" s="9" t="s">
        <v>14</v>
      </c>
      <c r="G11" s="9" t="s">
        <v>10</v>
      </c>
      <c r="H11" s="8" t="s">
        <v>9</v>
      </c>
      <c r="I11" s="8" t="s">
        <v>15</v>
      </c>
      <c r="J11" s="8" t="s">
        <v>16</v>
      </c>
      <c r="K11" s="9" t="s">
        <v>17</v>
      </c>
      <c r="L11" s="8" t="s">
        <v>18</v>
      </c>
      <c r="M11" s="9" t="s">
        <v>8</v>
      </c>
    </row>
    <row r="12" spans="5:13" ht="15.6" x14ac:dyDescent="0.3">
      <c r="E12" s="3">
        <v>1</v>
      </c>
      <c r="F12" s="3">
        <v>0.27</v>
      </c>
      <c r="G12" s="3">
        <f>F12*18</f>
        <v>4.8600000000000003</v>
      </c>
      <c r="H12" s="3">
        <v>31</v>
      </c>
      <c r="I12" s="26">
        <f>G12*SIN(RADIANS(H12))</f>
        <v>2.5030850440628631</v>
      </c>
      <c r="J12" s="26">
        <f>G12*COS(RADIANS(H12))</f>
        <v>4.1658330814122664</v>
      </c>
      <c r="K12" s="12">
        <v>1.05</v>
      </c>
      <c r="L12" s="26">
        <f>11.111*K12</f>
        <v>11.666550000000001</v>
      </c>
      <c r="M12" s="26">
        <f>J12*TAN(RADIANS(21.4974))</f>
        <v>1.6407469224231712</v>
      </c>
    </row>
    <row r="13" spans="5:13" ht="15.6" x14ac:dyDescent="0.3">
      <c r="E13" s="3">
        <v>2</v>
      </c>
      <c r="F13" s="3">
        <v>0.77</v>
      </c>
      <c r="G13" s="3">
        <f t="shared" ref="G13:G21" si="0">F13*18</f>
        <v>13.86</v>
      </c>
      <c r="H13" s="3">
        <v>33</v>
      </c>
      <c r="I13" s="26">
        <f t="shared" ref="I13:I21" si="1">G13*SIN(RADIANS(H13))</f>
        <v>7.5486970253082752</v>
      </c>
      <c r="J13" s="26">
        <f t="shared" ref="J13:J21" si="2">G13*COS(RADIANS(H13))</f>
        <v>11.623974071723577</v>
      </c>
      <c r="K13" s="3">
        <v>1.08</v>
      </c>
      <c r="L13" s="26">
        <f t="shared" ref="L13:L21" si="3">11.111*K13</f>
        <v>11.999880000000001</v>
      </c>
      <c r="M13" s="26">
        <f t="shared" ref="M13:M21" si="4">J13*TAN(RADIANS(21.4974))</f>
        <v>4.5781958402523335</v>
      </c>
    </row>
    <row r="14" spans="5:13" s="2" customFormat="1" ht="15.6" x14ac:dyDescent="0.3">
      <c r="E14" s="3">
        <v>3</v>
      </c>
      <c r="F14" s="3">
        <v>1.232</v>
      </c>
      <c r="G14" s="3">
        <f t="shared" si="0"/>
        <v>22.175999999999998</v>
      </c>
      <c r="H14" s="3">
        <v>36</v>
      </c>
      <c r="I14" s="26">
        <f t="shared" si="1"/>
        <v>13.034725754837883</v>
      </c>
      <c r="J14" s="26">
        <f t="shared" si="2"/>
        <v>17.940760867258835</v>
      </c>
      <c r="K14" s="3">
        <v>1.1100000000000001</v>
      </c>
      <c r="L14" s="26">
        <f t="shared" si="3"/>
        <v>12.333210000000001</v>
      </c>
      <c r="M14" s="26">
        <f t="shared" si="4"/>
        <v>7.0661132127996265</v>
      </c>
    </row>
    <row r="15" spans="5:13" ht="15.6" x14ac:dyDescent="0.3">
      <c r="E15" s="3">
        <v>4</v>
      </c>
      <c r="F15" s="3">
        <v>1.629</v>
      </c>
      <c r="G15" s="3">
        <f t="shared" si="0"/>
        <v>29.321999999999999</v>
      </c>
      <c r="H15" s="3">
        <v>39</v>
      </c>
      <c r="I15" s="26">
        <f t="shared" si="1"/>
        <v>18.452932506363332</v>
      </c>
      <c r="J15" s="26">
        <f t="shared" si="2"/>
        <v>22.787473881841301</v>
      </c>
      <c r="K15" s="3">
        <v>1.1599999999999999</v>
      </c>
      <c r="L15" s="26">
        <f t="shared" si="3"/>
        <v>12.88876</v>
      </c>
      <c r="M15" s="26">
        <f t="shared" si="4"/>
        <v>8.9750301826194097</v>
      </c>
    </row>
    <row r="16" spans="5:13" s="11" customFormat="1" ht="15.6" x14ac:dyDescent="0.3">
      <c r="E16" s="3">
        <v>5</v>
      </c>
      <c r="F16" s="3">
        <v>1.96</v>
      </c>
      <c r="G16" s="3">
        <f t="shared" si="0"/>
        <v>35.28</v>
      </c>
      <c r="H16" s="3">
        <v>42</v>
      </c>
      <c r="I16" s="26">
        <f t="shared" si="1"/>
        <v>23.606927792340521</v>
      </c>
      <c r="J16" s="26">
        <f t="shared" si="2"/>
        <v>26.218149442842471</v>
      </c>
      <c r="K16" s="3">
        <v>1.2</v>
      </c>
      <c r="L16" s="26">
        <f t="shared" si="3"/>
        <v>13.3332</v>
      </c>
      <c r="M16" s="26">
        <f t="shared" si="4"/>
        <v>10.326229392607152</v>
      </c>
    </row>
    <row r="17" spans="5:13" ht="15.6" x14ac:dyDescent="0.3">
      <c r="E17" s="3">
        <v>6</v>
      </c>
      <c r="F17" s="3">
        <v>2.2189999999999999</v>
      </c>
      <c r="G17" s="3">
        <f t="shared" si="0"/>
        <v>39.942</v>
      </c>
      <c r="H17" s="3">
        <v>44</v>
      </c>
      <c r="I17" s="26">
        <f t="shared" si="1"/>
        <v>27.746044632873268</v>
      </c>
      <c r="J17" s="26">
        <f t="shared" si="2"/>
        <v>28.731870305126407</v>
      </c>
      <c r="K17" s="3">
        <v>1.26</v>
      </c>
      <c r="L17" s="26">
        <f t="shared" si="3"/>
        <v>13.999860000000002</v>
      </c>
      <c r="M17" s="26">
        <f t="shared" si="4"/>
        <v>11.316278606778996</v>
      </c>
    </row>
    <row r="18" spans="5:13" ht="15.6" x14ac:dyDescent="0.3">
      <c r="E18" s="3">
        <v>7</v>
      </c>
      <c r="F18" s="3">
        <v>2.3919999999999999</v>
      </c>
      <c r="G18" s="3">
        <f t="shared" si="0"/>
        <v>43.055999999999997</v>
      </c>
      <c r="H18" s="3">
        <v>48</v>
      </c>
      <c r="I18" s="26">
        <f t="shared" si="1"/>
        <v>31.996843605754684</v>
      </c>
      <c r="J18" s="26">
        <f t="shared" si="2"/>
        <v>28.810087387387</v>
      </c>
      <c r="K18" s="3">
        <v>1.34</v>
      </c>
      <c r="L18" s="26">
        <f t="shared" si="3"/>
        <v>14.888740000000002</v>
      </c>
      <c r="M18" s="26">
        <f t="shared" si="4"/>
        <v>11.347085034807188</v>
      </c>
    </row>
    <row r="19" spans="5:13" ht="15.6" x14ac:dyDescent="0.3">
      <c r="E19" s="3">
        <v>8</v>
      </c>
      <c r="F19" s="3">
        <v>2.4649999999999999</v>
      </c>
      <c r="G19" s="3">
        <f t="shared" si="0"/>
        <v>44.37</v>
      </c>
      <c r="H19" s="3">
        <v>51</v>
      </c>
      <c r="I19" s="26">
        <f t="shared" si="1"/>
        <v>34.481966309845795</v>
      </c>
      <c r="J19" s="26">
        <f t="shared" si="2"/>
        <v>27.92294575088129</v>
      </c>
      <c r="K19" s="3">
        <v>1.43</v>
      </c>
      <c r="L19" s="26">
        <f t="shared" si="3"/>
        <v>15.888730000000001</v>
      </c>
      <c r="M19" s="26">
        <f t="shared" si="4"/>
        <v>10.997677153741357</v>
      </c>
    </row>
    <row r="20" spans="5:13" ht="15.6" x14ac:dyDescent="0.3">
      <c r="E20" s="3">
        <v>9</v>
      </c>
      <c r="F20" s="3">
        <v>1.9059999999999999</v>
      </c>
      <c r="G20" s="3">
        <f t="shared" si="0"/>
        <v>34.308</v>
      </c>
      <c r="H20" s="3">
        <v>54</v>
      </c>
      <c r="I20" s="26">
        <f t="shared" si="1"/>
        <v>27.755755043015697</v>
      </c>
      <c r="J20" s="26">
        <f t="shared" si="2"/>
        <v>20.165736435650167</v>
      </c>
      <c r="K20" s="3">
        <v>1.55</v>
      </c>
      <c r="L20" s="26">
        <f t="shared" si="3"/>
        <v>17.222050000000003</v>
      </c>
      <c r="M20" s="26">
        <f t="shared" si="4"/>
        <v>7.9424377666070534</v>
      </c>
    </row>
    <row r="21" spans="5:13" ht="15.6" x14ac:dyDescent="0.3">
      <c r="E21" s="3">
        <v>10</v>
      </c>
      <c r="F21" s="3">
        <v>0.67900000000000005</v>
      </c>
      <c r="G21" s="3">
        <f t="shared" si="0"/>
        <v>12.222000000000001</v>
      </c>
      <c r="H21" s="3">
        <v>58</v>
      </c>
      <c r="I21" s="26">
        <f t="shared" si="1"/>
        <v>10.364843831223839</v>
      </c>
      <c r="J21" s="26">
        <f t="shared" si="2"/>
        <v>6.4766732474582307</v>
      </c>
      <c r="K21" s="3">
        <v>1.72</v>
      </c>
      <c r="L21" s="26">
        <f t="shared" si="3"/>
        <v>19.11092</v>
      </c>
      <c r="M21" s="26">
        <f t="shared" si="4"/>
        <v>2.5508899398112805</v>
      </c>
    </row>
    <row r="22" spans="5:13" x14ac:dyDescent="0.3">
      <c r="E22" s="3"/>
      <c r="F22" s="3"/>
      <c r="G22" s="3"/>
      <c r="H22" s="3"/>
      <c r="I22" s="3"/>
      <c r="J22" s="3"/>
      <c r="K22" s="3"/>
      <c r="L22" s="3"/>
      <c r="M22" s="3"/>
    </row>
    <row r="23" spans="5:13" x14ac:dyDescent="0.3">
      <c r="E23" s="13" t="s">
        <v>7</v>
      </c>
      <c r="F23" s="27">
        <f>SUM(F12:F21)</f>
        <v>15.522</v>
      </c>
      <c r="G23" s="27">
        <f>SUM(G12:G21)</f>
        <v>279.39599999999996</v>
      </c>
      <c r="H23" s="27"/>
      <c r="I23" s="27">
        <f>SUM(I12:I21)</f>
        <v>197.49182154562615</v>
      </c>
      <c r="J23" s="27">
        <f>SUM(J12:J21)</f>
        <v>194.84350447158153</v>
      </c>
      <c r="K23" s="27">
        <f>SUM(K12:K21)</f>
        <v>12.900000000000002</v>
      </c>
      <c r="L23" s="27">
        <f>SUM(L12:L21)</f>
        <v>143.33189999999999</v>
      </c>
      <c r="M23" s="27">
        <f>SUM(M12:M21)</f>
        <v>76.740684052447563</v>
      </c>
    </row>
    <row r="26" spans="5:13" x14ac:dyDescent="0.3">
      <c r="H26" t="s">
        <v>25</v>
      </c>
    </row>
    <row r="36" s="11" customFormat="1" x14ac:dyDescent="0.3"/>
    <row r="59" s="11" customForma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09A3-62FA-4D2B-A1CC-BC53DD407B21}">
  <dimension ref="A4:M23"/>
  <sheetViews>
    <sheetView topLeftCell="B5" zoomScale="121" workbookViewId="0">
      <selection activeCell="G22" sqref="G22"/>
    </sheetView>
  </sheetViews>
  <sheetFormatPr defaultRowHeight="14.4" x14ac:dyDescent="0.3"/>
  <cols>
    <col min="1" max="1" width="7.5546875" customWidth="1"/>
    <col min="3" max="3" width="11.21875" customWidth="1"/>
    <col min="4" max="4" width="7.44140625" customWidth="1"/>
    <col min="5" max="5" width="10.6640625" customWidth="1"/>
    <col min="6" max="6" width="10.77734375" customWidth="1"/>
    <col min="7" max="7" width="11" customWidth="1"/>
    <col min="8" max="8" width="10.21875" customWidth="1"/>
    <col min="9" max="9" width="11.5546875" customWidth="1"/>
    <col min="12" max="12" width="9.109375" bestFit="1" customWidth="1"/>
  </cols>
  <sheetData>
    <row r="4" spans="1:12" s="23" customFormat="1" ht="73.05" customHeight="1" x14ac:dyDescent="0.3">
      <c r="A4" s="7"/>
      <c r="B4" s="7"/>
      <c r="C4" s="17"/>
    </row>
    <row r="5" spans="1:12" ht="15" x14ac:dyDescent="0.3">
      <c r="A5" s="24"/>
      <c r="B5" s="25"/>
      <c r="C5" s="25"/>
      <c r="D5" s="14" t="s">
        <v>21</v>
      </c>
    </row>
    <row r="7" spans="1:12" ht="100.8" x14ac:dyDescent="0.3">
      <c r="D7" s="4" t="s">
        <v>1</v>
      </c>
      <c r="E7" s="4" t="s">
        <v>0</v>
      </c>
      <c r="F7" s="5" t="s">
        <v>2</v>
      </c>
      <c r="G7" s="6" t="s">
        <v>12</v>
      </c>
      <c r="H7" s="5" t="s">
        <v>3</v>
      </c>
      <c r="I7" s="5" t="s">
        <v>13</v>
      </c>
      <c r="J7" s="4" t="s">
        <v>4</v>
      </c>
      <c r="K7" s="5" t="s">
        <v>5</v>
      </c>
      <c r="L7" s="5" t="s">
        <v>6</v>
      </c>
    </row>
    <row r="8" spans="1:12" ht="30.6" x14ac:dyDescent="0.3">
      <c r="D8" s="4"/>
      <c r="E8" s="9" t="s">
        <v>14</v>
      </c>
      <c r="F8" s="9" t="s">
        <v>10</v>
      </c>
      <c r="G8" s="8" t="s">
        <v>9</v>
      </c>
      <c r="H8" s="8" t="s">
        <v>15</v>
      </c>
      <c r="I8" s="8" t="s">
        <v>16</v>
      </c>
      <c r="J8" s="9" t="s">
        <v>22</v>
      </c>
      <c r="K8" s="8" t="s">
        <v>18</v>
      </c>
      <c r="L8" s="9" t="s">
        <v>8</v>
      </c>
    </row>
    <row r="9" spans="1:12" ht="15.6" x14ac:dyDescent="0.3">
      <c r="D9" s="3">
        <v>1</v>
      </c>
      <c r="E9" s="3">
        <v>1.236</v>
      </c>
      <c r="F9" s="3">
        <v>22.25</v>
      </c>
      <c r="G9" s="3">
        <v>-14</v>
      </c>
      <c r="H9" s="12">
        <v>-5.38</v>
      </c>
      <c r="I9" s="12">
        <v>21.59</v>
      </c>
      <c r="J9" s="12">
        <v>1.31</v>
      </c>
      <c r="K9" s="12">
        <v>14.56</v>
      </c>
      <c r="L9" s="12">
        <v>8.5</v>
      </c>
    </row>
    <row r="10" spans="1:12" x14ac:dyDescent="0.3">
      <c r="D10" s="3">
        <v>2</v>
      </c>
      <c r="E10" s="3">
        <v>3.5569999999999999</v>
      </c>
      <c r="F10" s="3">
        <v>64.03</v>
      </c>
      <c r="G10" s="3">
        <v>-6</v>
      </c>
      <c r="H10" s="3">
        <v>-6.69</v>
      </c>
      <c r="I10" s="3">
        <v>63.68</v>
      </c>
      <c r="J10" s="3">
        <v>1.28</v>
      </c>
      <c r="K10" s="3">
        <v>14.22</v>
      </c>
      <c r="L10" s="3">
        <v>25.08</v>
      </c>
    </row>
    <row r="11" spans="1:12" x14ac:dyDescent="0.3">
      <c r="D11" s="3">
        <v>3</v>
      </c>
      <c r="E11">
        <v>5.6609999999999996</v>
      </c>
      <c r="F11" s="3">
        <v>101.9</v>
      </c>
      <c r="G11" s="3">
        <v>0</v>
      </c>
      <c r="H11" s="3">
        <v>0</v>
      </c>
      <c r="I11" s="3">
        <v>101.9</v>
      </c>
      <c r="J11" s="3">
        <v>1.28</v>
      </c>
      <c r="K11" s="3">
        <v>14.22</v>
      </c>
      <c r="L11" s="3">
        <v>40.130000000000003</v>
      </c>
    </row>
    <row r="12" spans="1:12" x14ac:dyDescent="0.3">
      <c r="D12" s="3">
        <v>4</v>
      </c>
      <c r="E12" s="3">
        <v>7.5519999999999996</v>
      </c>
      <c r="F12" s="3">
        <v>135.94</v>
      </c>
      <c r="G12" s="3">
        <v>9</v>
      </c>
      <c r="H12" s="3">
        <v>21.27</v>
      </c>
      <c r="I12" s="3">
        <v>134.26</v>
      </c>
      <c r="J12" s="3">
        <v>1.29</v>
      </c>
      <c r="K12" s="3">
        <v>14.33</v>
      </c>
      <c r="L12" s="3">
        <v>52.88</v>
      </c>
    </row>
    <row r="13" spans="1:12" x14ac:dyDescent="0.3">
      <c r="D13" s="3">
        <v>5</v>
      </c>
      <c r="E13" s="3">
        <v>9.2210000000000001</v>
      </c>
      <c r="F13" s="3">
        <v>165.98</v>
      </c>
      <c r="G13" s="3">
        <v>17</v>
      </c>
      <c r="H13" s="3">
        <v>48.53</v>
      </c>
      <c r="I13" s="3">
        <v>158.72999999999999</v>
      </c>
      <c r="J13" s="3">
        <v>1.33</v>
      </c>
      <c r="K13" s="3">
        <v>14.78</v>
      </c>
      <c r="L13" s="3">
        <v>62.52</v>
      </c>
    </row>
    <row r="14" spans="1:12" x14ac:dyDescent="0.3">
      <c r="D14" s="3">
        <v>6</v>
      </c>
      <c r="E14" s="3">
        <v>10.525</v>
      </c>
      <c r="F14" s="3">
        <v>189.45</v>
      </c>
      <c r="G14" s="3">
        <v>25</v>
      </c>
      <c r="H14" s="3">
        <v>80.069999999999993</v>
      </c>
      <c r="I14" s="3">
        <v>171.7</v>
      </c>
      <c r="J14" s="3">
        <v>1.4</v>
      </c>
      <c r="K14" s="3">
        <v>15.56</v>
      </c>
      <c r="L14" s="3">
        <v>67.63</v>
      </c>
    </row>
    <row r="15" spans="1:12" x14ac:dyDescent="0.3">
      <c r="D15" s="3">
        <v>7</v>
      </c>
      <c r="E15" s="3">
        <v>10.063000000000001</v>
      </c>
      <c r="F15" s="3">
        <v>181.13</v>
      </c>
      <c r="G15" s="3">
        <v>33</v>
      </c>
      <c r="H15" s="3">
        <v>98.65</v>
      </c>
      <c r="I15" s="3">
        <v>151.91</v>
      </c>
      <c r="J15" s="3">
        <v>1.52</v>
      </c>
      <c r="K15" s="3">
        <v>16.89</v>
      </c>
      <c r="L15" s="3">
        <v>59.83</v>
      </c>
    </row>
    <row r="16" spans="1:12" x14ac:dyDescent="0.3">
      <c r="D16" s="3">
        <v>8</v>
      </c>
      <c r="E16" s="3">
        <v>8.7970000000000006</v>
      </c>
      <c r="F16" s="3">
        <v>158.35</v>
      </c>
      <c r="G16" s="3">
        <v>43</v>
      </c>
      <c r="H16" s="3">
        <v>107.99</v>
      </c>
      <c r="I16" s="3">
        <v>115.81</v>
      </c>
      <c r="J16" s="3">
        <v>1.73</v>
      </c>
      <c r="K16" s="3">
        <v>19.22</v>
      </c>
      <c r="L16" s="3">
        <v>45.61</v>
      </c>
    </row>
    <row r="17" spans="4:13" s="2" customFormat="1" x14ac:dyDescent="0.3">
      <c r="D17" s="3">
        <v>9</v>
      </c>
      <c r="E17" s="3">
        <v>6.9690000000000003</v>
      </c>
      <c r="F17" s="3">
        <v>125.44</v>
      </c>
      <c r="G17" s="3">
        <v>54</v>
      </c>
      <c r="H17" s="3">
        <v>101.48</v>
      </c>
      <c r="I17" s="3">
        <v>73.73</v>
      </c>
      <c r="J17" s="3">
        <v>2.17</v>
      </c>
      <c r="K17" s="3">
        <v>24.11</v>
      </c>
      <c r="L17" s="3">
        <v>29.04</v>
      </c>
      <c r="M17"/>
    </row>
    <row r="18" spans="4:13" x14ac:dyDescent="0.3">
      <c r="D18" s="3">
        <v>10</v>
      </c>
      <c r="E18" s="3">
        <v>3.77</v>
      </c>
      <c r="F18" s="3">
        <v>67.86</v>
      </c>
      <c r="G18" s="3">
        <v>74</v>
      </c>
      <c r="H18" s="3">
        <v>65.23</v>
      </c>
      <c r="I18" s="3">
        <v>18.7</v>
      </c>
      <c r="J18" s="3">
        <v>4.6900000000000004</v>
      </c>
      <c r="K18" s="3">
        <v>52.11</v>
      </c>
      <c r="L18" s="3">
        <v>7.37</v>
      </c>
    </row>
    <row r="19" spans="4:13" x14ac:dyDescent="0.3">
      <c r="D19" s="3"/>
      <c r="E19" s="3"/>
      <c r="F19" s="3"/>
      <c r="G19" s="3"/>
      <c r="H19" s="3"/>
      <c r="I19" s="3"/>
      <c r="J19" s="3"/>
      <c r="K19" s="3"/>
      <c r="L19" s="3"/>
    </row>
    <row r="20" spans="4:13" x14ac:dyDescent="0.3">
      <c r="D20" s="13" t="s">
        <v>7</v>
      </c>
      <c r="E20" s="13">
        <f>SUM(E9:E18)</f>
        <v>67.351000000000013</v>
      </c>
      <c r="F20" s="13">
        <f>SUM(F9:F18)</f>
        <v>1212.33</v>
      </c>
      <c r="G20" s="13"/>
      <c r="H20" s="13">
        <f>SUM(H9:H18)</f>
        <v>511.15000000000003</v>
      </c>
      <c r="I20" s="13">
        <f>SUM(I9:I18)</f>
        <v>1012.01</v>
      </c>
      <c r="J20" s="13">
        <f>SUM(J9:J18)</f>
        <v>18</v>
      </c>
      <c r="K20" s="13">
        <f>SUM(K9:K18)</f>
        <v>200</v>
      </c>
      <c r="L20" s="13">
        <f>SUM(L9:L18)</f>
        <v>398.59000000000003</v>
      </c>
    </row>
    <row r="22" spans="4:13" x14ac:dyDescent="0.3">
      <c r="G22" t="s">
        <v>23</v>
      </c>
    </row>
    <row r="23" spans="4:13" x14ac:dyDescent="0.3">
      <c r="M23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Cosmas Mutembei Kobia</dc:creator>
  <cp:lastModifiedBy>Mohamed Ayman Mossa Abdelazeem</cp:lastModifiedBy>
  <cp:lastPrinted>2024-11-27T21:47:18Z</cp:lastPrinted>
  <dcterms:created xsi:type="dcterms:W3CDTF">2024-11-18T12:22:03Z</dcterms:created>
  <dcterms:modified xsi:type="dcterms:W3CDTF">2024-11-27T21:58:35Z</dcterms:modified>
</cp:coreProperties>
</file>